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4-I Fundamentals of Astrodynamics\git\AE4874-I-Fundamentals-of-Astrodynamics\CoursePlanningTemplate\"/>
    </mc:Choice>
  </mc:AlternateContent>
  <xr:revisionPtr revIDLastSave="0" documentId="13_ncr:1_{6A40F341-9F4D-41A7-A02D-DA8BC7908675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" i="3" l="1"/>
  <c r="J2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DB2D6190-6315-46A2-A487-2D50A9F25DBA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D9553EBE-5721-4C9D-967F-C8A145A7C9CD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C46F22F2-603A-4FDF-948A-0854BAB56FDB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0E7E6BB4-BE25-40D5-986C-84B223C1F3D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<sst xmlns="http://schemas.openxmlformats.org/spreadsheetml/2006/main" count="386" uniqueCount="160">
  <si>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</si>
  <si>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</si>
  <si>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</si>
  <si>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</si>
  <si>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</si>
  <si>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</si>
  <si>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</si>
  <si>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</si>
  <si>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</si>
  <si>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</si>
  <si>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</si>
  <si>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</si>
  <si>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</si>
  <si>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</si>
  <si>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</si>
  <si>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</si>
  <si>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</si>
  <si>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</si>
  <si>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</si>
  <si>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</si>
  <si>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</si>
  <si>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</si>
  <si>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</si>
  <si>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</si>
  <si>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</si>
  <si>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</si>
  <si>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</si>
  <si>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</si>
  <si>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</si>
  <si>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</si>
  <si>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</si>
  <si>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</si>
  <si>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statistics and orbit det</t>
  </si>
  <si>
    <t>sat nav</t>
  </si>
  <si>
    <t>kalman filter and orbit det</t>
  </si>
  <si>
    <t>applications cryosat-2 and grace</t>
  </si>
  <si>
    <t>Statistics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</si>
  <si>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</si>
  <si>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</si>
  <si>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</si>
  <si>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</si>
  <si>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</si>
  <si>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</si>
  <si>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</si>
  <si>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</si>
  <si>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</si>
  <si>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</si>
  <si>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</si>
  <si>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</si>
  <si>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</si>
  <si>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</si>
  <si>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</si>
  <si>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tracking.refraction.relativity</t>
  </si>
  <si>
    <t>coordinates. time and gravity</t>
  </si>
  <si>
    <t>non linearity. rank definiciency</t>
  </si>
  <si>
    <t>Potential theory. spherical harmonies</t>
  </si>
  <si>
    <t>2019-09-03</t>
  </si>
  <si>
    <t>2019-09-05</t>
  </si>
  <si>
    <t>2019-09-10</t>
  </si>
  <si>
    <t>2019-09-12</t>
  </si>
  <si>
    <t>2019-09-19</t>
  </si>
  <si>
    <t>2019-09-24</t>
  </si>
  <si>
    <t>2019-09-26</t>
  </si>
  <si>
    <t>2019-10-01</t>
  </si>
  <si>
    <t>2019-10-08</t>
  </si>
  <si>
    <t>2019-10-10</t>
  </si>
  <si>
    <t>2019-10-15</t>
  </si>
  <si>
    <t>2019-10-17</t>
  </si>
  <si>
    <t>2001-01-08</t>
  </si>
  <si>
    <t>2002-08-29</t>
  </si>
  <si>
    <t>2003-01-14</t>
  </si>
  <si>
    <t>2003-08-27</t>
  </si>
  <si>
    <t>2004-01-15</t>
  </si>
  <si>
    <t>2008-01-24</t>
  </si>
  <si>
    <t>2010-01-21</t>
  </si>
  <si>
    <t>2010-06-18</t>
  </si>
  <si>
    <t>2011-01-02</t>
  </si>
  <si>
    <t>2012-01-24</t>
  </si>
  <si>
    <t>2012-04-11</t>
  </si>
  <si>
    <t>2014-10-31</t>
  </si>
  <si>
    <t>2015-01-21</t>
  </si>
  <si>
    <t>2016-11-11</t>
  </si>
  <si>
    <t>reference frames. orbital elements. coordinate systems</t>
  </si>
  <si>
    <t>two body elliptical oprbits</t>
  </si>
  <si>
    <t>parabolic orbits hyperbolic orbits</t>
  </si>
  <si>
    <t>basic concepts. nbody</t>
  </si>
  <si>
    <t>perturbations</t>
  </si>
  <si>
    <t>Relative motion in nbody</t>
  </si>
  <si>
    <t>position vs time. lamberts problem f and gseries</t>
  </si>
  <si>
    <t>transfers between coplanar orbits/different planes</t>
  </si>
  <si>
    <t xml:space="preserve">Inertial reference frame </t>
  </si>
  <si>
    <t xml:space="preserve">Axis systems of U dr equations </t>
  </si>
  <si>
    <t xml:space="preserve">Two body. hodograph </t>
  </si>
  <si>
    <t xml:space="preserve">Escape orbit. hyperbolic orbit </t>
  </si>
  <si>
    <t xml:space="preserve">Kepler equations math </t>
  </si>
  <si>
    <t xml:space="preserve">Newton. u. first order. relativistic effects. </t>
  </si>
  <si>
    <t xml:space="preserve">Singularity in dr^2+mu/r^3 math </t>
  </si>
  <si>
    <t xml:space="preserve">three body problem. lagrange </t>
  </si>
  <si>
    <t xml:space="preserve">Elliptic heliocentric math </t>
  </si>
  <si>
    <t xml:space="preserve">Two body. time </t>
  </si>
  <si>
    <t xml:space="preserve">Explain definitions of angles and time </t>
  </si>
  <si>
    <t xml:space="preserve">Newton Pointmass. gravity potential U </t>
  </si>
  <si>
    <t xml:space="preserve">Three body problem. differential equations </t>
  </si>
  <si>
    <t xml:space="preserve">Compute keplerian properties. </t>
  </si>
  <si>
    <t xml:space="preserve">Astroid sun earth hyperbolic </t>
  </si>
  <si>
    <t xml:space="preserve">Three body problem hill </t>
  </si>
  <si>
    <t xml:space="preserve">hyperbolic heliocentric </t>
  </si>
  <si>
    <t xml:space="preserve">two body kepler elements. time </t>
  </si>
  <si>
    <t xml:space="preserve">n body attraction a and r </t>
  </si>
  <si>
    <t xml:space="preserve">point mass kepler elements </t>
  </si>
  <si>
    <t xml:space="preserve">sun astroid earth hyperbolic </t>
  </si>
  <si>
    <t xml:space="preserve">nbody U gravitational attraction. dl/dt </t>
  </si>
  <si>
    <t xml:space="preserve">Two body H. velocity and acceleartion </t>
  </si>
  <si>
    <t xml:space="preserve">two body du grav potential </t>
  </si>
  <si>
    <t xml:space="preserve">nbody Rdotdot acceleration </t>
  </si>
  <si>
    <t xml:space="preserve">Low eccentricity heliocentric dr^2 </t>
  </si>
  <si>
    <t xml:space="preserve">nbodies. dI/dt  </t>
  </si>
  <si>
    <t xml:space="preserve">Hyperbolic around earth calc. keplerian elements </t>
  </si>
  <si>
    <t xml:space="preserve">two body relativity. first order approx of u. gravitational accelleration </t>
  </si>
  <si>
    <t xml:space="preserve">n bodies. gravitaional accelleration U. dI/dt </t>
  </si>
  <si>
    <t xml:space="preserve">x.y.z two sats around earcht timming </t>
  </si>
  <si>
    <t xml:space="preserve">nbodies. r. a </t>
  </si>
  <si>
    <t xml:space="preserve">spacecraft elliptical hyperbolic around earth </t>
  </si>
  <si>
    <t xml:space="preserve">two body problem u du^2. H </t>
  </si>
  <si>
    <t xml:space="preserve">mc. time. ascenscion.hour circle </t>
  </si>
  <si>
    <t xml:space="preserve">three body problem. gravitaional attraction </t>
  </si>
  <si>
    <t xml:space="preserve">n body r. R_si </t>
  </si>
  <si>
    <t xml:space="preserve">two body problemV. E. r_0 calc keplerian elemns </t>
  </si>
  <si>
    <t xml:space="preserve">Euler. r_12 U gravitaional param </t>
  </si>
  <si>
    <t xml:space="preserve">nbody m. r_i trajectory </t>
  </si>
  <si>
    <t>lunar flight</t>
  </si>
  <si>
    <t>interplanetary flight</t>
  </si>
  <si>
    <t>circular restricted three body problem</t>
  </si>
  <si>
    <t>relative motion (Hill/CW equations)</t>
  </si>
  <si>
    <t>phasing orbits and rendez vous</t>
  </si>
  <si>
    <t>2019-11-08</t>
  </si>
  <si>
    <t>uni.astro</t>
  </si>
  <si>
    <t>AE4874</t>
  </si>
  <si>
    <t>Fundamentals of Astrodynamics</t>
  </si>
  <si>
    <t>Allocated to:</t>
  </si>
  <si>
    <t>A</t>
  </si>
  <si>
    <t>B</t>
  </si>
  <si>
    <t>E</t>
  </si>
  <si>
    <t>C</t>
  </si>
  <si>
    <t>Sol. In drive</t>
  </si>
  <si>
    <t>yes</t>
  </si>
  <si>
    <t>Yes</t>
  </si>
  <si>
    <t>No</t>
  </si>
  <si>
    <t>F</t>
  </si>
  <si>
    <t>G(4)</t>
  </si>
  <si>
    <t>Dx</t>
  </si>
  <si>
    <t>no</t>
  </si>
  <si>
    <t>H</t>
  </si>
  <si>
    <t>Comments:</t>
  </si>
  <si>
    <t>Dutch</t>
  </si>
  <si>
    <t>is jAN2008 on studo</t>
  </si>
  <si>
    <t>lang</t>
  </si>
  <si>
    <t>English</t>
  </si>
  <si>
    <t>I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</si>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</sst>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3" fillId="0" borderId="0" xfId="0" applyFont="1"/>
    <xf numFmtId="0" fontId="4" fillId="0" borderId="0" xfId="0" applyFont="1"/>
    <xf numFmtId="49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10</xdr:row>
          <xdr:rowOff>85725</xdr:rowOff>
        </xdr:from>
        <xdr:to>
          <xdr:col>1</xdr:col>
          <xdr:colOff>704850</xdr:colOff>
          <xdr:row>16</xdr:row>
          <xdr:rowOff>104775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exam Solutions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K12" sqref="K1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138</v>
      </c>
      <c r="B2" t="s">
        <v>137</v>
      </c>
      <c r="C2" t="s">
        <v>136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TaskwarriorCommands">
                <anchor moveWithCells="1" sizeWithCells="1">
                  <from>
                    <xdr:col>0</xdr:col>
                    <xdr:colOff>314325</xdr:colOff>
                    <xdr:row>10</xdr:row>
                    <xdr:rowOff>85725</xdr:rowOff>
                  </from>
                  <to>
                    <xdr:col>1</xdr:col>
                    <xdr:colOff>704850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23"/>
  <sheetViews>
    <sheetView workbookViewId="0">
      <selection activeCell="C2" sqref="C2:C2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85</v>
      </c>
      <c r="D2">
        <v>1</v>
      </c>
      <c r="E2" s="2" t="s">
        <v>56</v>
      </c>
    </row>
    <row r="3" spans="1:5" x14ac:dyDescent="0.25">
      <c r="A3">
        <v>1</v>
      </c>
      <c r="B3">
        <v>1</v>
      </c>
      <c r="C3" t="s">
        <v>87</v>
      </c>
      <c r="D3">
        <v>2</v>
      </c>
      <c r="E3" s="2" t="s">
        <v>57</v>
      </c>
    </row>
    <row r="4" spans="1:5" x14ac:dyDescent="0.25">
      <c r="A4">
        <v>1</v>
      </c>
      <c r="B4">
        <v>2</v>
      </c>
      <c r="C4" t="s">
        <v>83</v>
      </c>
      <c r="D4">
        <v>3</v>
      </c>
      <c r="E4" s="2" t="s">
        <v>58</v>
      </c>
    </row>
    <row r="5" spans="1:5" x14ac:dyDescent="0.25">
      <c r="A5">
        <v>1</v>
      </c>
      <c r="B5">
        <v>2</v>
      </c>
      <c r="C5" t="s">
        <v>83</v>
      </c>
      <c r="D5">
        <v>4</v>
      </c>
      <c r="E5" s="2" t="s">
        <v>58</v>
      </c>
    </row>
    <row r="6" spans="1:5" x14ac:dyDescent="0.25">
      <c r="A6">
        <v>1</v>
      </c>
      <c r="B6">
        <v>2</v>
      </c>
      <c r="C6" t="s">
        <v>84</v>
      </c>
      <c r="D6">
        <v>5</v>
      </c>
      <c r="E6" s="2" t="s">
        <v>59</v>
      </c>
    </row>
    <row r="7" spans="1:5" x14ac:dyDescent="0.25">
      <c r="A7">
        <v>1</v>
      </c>
      <c r="B7">
        <v>2</v>
      </c>
      <c r="C7" t="s">
        <v>84</v>
      </c>
      <c r="D7">
        <v>6</v>
      </c>
      <c r="E7" s="2" t="s">
        <v>59</v>
      </c>
    </row>
    <row r="8" spans="1:5" x14ac:dyDescent="0.25">
      <c r="A8">
        <v>1</v>
      </c>
      <c r="B8">
        <v>3</v>
      </c>
      <c r="C8" t="s">
        <v>82</v>
      </c>
      <c r="D8">
        <v>7</v>
      </c>
      <c r="E8" s="2" t="s">
        <v>28</v>
      </c>
    </row>
    <row r="9" spans="1:5" x14ac:dyDescent="0.25">
      <c r="A9">
        <v>1</v>
      </c>
      <c r="B9">
        <v>3</v>
      </c>
      <c r="C9" t="s">
        <v>82</v>
      </c>
      <c r="D9">
        <v>8</v>
      </c>
      <c r="E9" s="2" t="s">
        <v>28</v>
      </c>
    </row>
    <row r="10" spans="1:5" x14ac:dyDescent="0.25">
      <c r="A10">
        <v>1</v>
      </c>
      <c r="B10">
        <v>3</v>
      </c>
      <c r="C10" t="s">
        <v>82</v>
      </c>
      <c r="D10">
        <v>9</v>
      </c>
      <c r="E10" s="2" t="s">
        <v>28</v>
      </c>
    </row>
    <row r="11" spans="1:5" x14ac:dyDescent="0.25">
      <c r="A11">
        <v>1</v>
      </c>
      <c r="B11">
        <v>3</v>
      </c>
      <c r="C11" t="s">
        <v>88</v>
      </c>
      <c r="D11">
        <v>10</v>
      </c>
      <c r="E11" s="2" t="s">
        <v>60</v>
      </c>
    </row>
    <row r="12" spans="1:5" x14ac:dyDescent="0.25">
      <c r="A12">
        <v>1</v>
      </c>
      <c r="B12">
        <v>3</v>
      </c>
      <c r="C12" t="s">
        <v>88</v>
      </c>
      <c r="D12">
        <v>11</v>
      </c>
      <c r="E12" s="2" t="s">
        <v>60</v>
      </c>
    </row>
    <row r="13" spans="1:5" x14ac:dyDescent="0.25">
      <c r="A13">
        <v>1</v>
      </c>
      <c r="B13">
        <v>3</v>
      </c>
      <c r="C13" t="s">
        <v>88</v>
      </c>
      <c r="D13">
        <v>12</v>
      </c>
      <c r="E13" s="2" t="s">
        <v>60</v>
      </c>
    </row>
    <row r="14" spans="1:5" x14ac:dyDescent="0.25">
      <c r="A14">
        <v>1</v>
      </c>
      <c r="B14">
        <v>4</v>
      </c>
      <c r="C14" t="s">
        <v>89</v>
      </c>
      <c r="D14">
        <v>13</v>
      </c>
      <c r="E14" s="2" t="s">
        <v>61</v>
      </c>
    </row>
    <row r="15" spans="1:5" x14ac:dyDescent="0.25">
      <c r="A15">
        <v>1</v>
      </c>
      <c r="B15">
        <v>4</v>
      </c>
      <c r="C15" t="s">
        <v>89</v>
      </c>
      <c r="D15">
        <v>14</v>
      </c>
      <c r="E15" s="2" t="s">
        <v>61</v>
      </c>
    </row>
    <row r="16" spans="1:5" x14ac:dyDescent="0.25">
      <c r="A16">
        <v>1</v>
      </c>
      <c r="B16">
        <v>4</v>
      </c>
      <c r="C16" t="s">
        <v>130</v>
      </c>
      <c r="D16">
        <v>15</v>
      </c>
      <c r="E16" s="2" t="s">
        <v>62</v>
      </c>
    </row>
    <row r="17" spans="1:5" x14ac:dyDescent="0.25">
      <c r="A17">
        <v>1</v>
      </c>
      <c r="B17">
        <v>5</v>
      </c>
      <c r="C17" t="s">
        <v>131</v>
      </c>
      <c r="D17">
        <v>16</v>
      </c>
      <c r="E17" s="2" t="s">
        <v>63</v>
      </c>
    </row>
    <row r="18" spans="1:5" x14ac:dyDescent="0.25">
      <c r="A18">
        <v>1</v>
      </c>
      <c r="B18">
        <v>5</v>
      </c>
      <c r="C18" t="s">
        <v>131</v>
      </c>
      <c r="D18">
        <v>17</v>
      </c>
      <c r="E18" s="2" t="s">
        <v>63</v>
      </c>
    </row>
    <row r="19" spans="1:5" x14ac:dyDescent="0.25">
      <c r="A19">
        <v>1</v>
      </c>
      <c r="B19">
        <v>6</v>
      </c>
      <c r="C19" t="s">
        <v>132</v>
      </c>
      <c r="D19">
        <v>18</v>
      </c>
      <c r="E19" s="2" t="s">
        <v>64</v>
      </c>
    </row>
    <row r="20" spans="1:5" x14ac:dyDescent="0.25">
      <c r="A20">
        <v>1</v>
      </c>
      <c r="B20">
        <v>6</v>
      </c>
      <c r="C20" t="s">
        <v>132</v>
      </c>
      <c r="D20">
        <v>19</v>
      </c>
      <c r="E20" s="2" t="s">
        <v>64</v>
      </c>
    </row>
    <row r="21" spans="1:5" x14ac:dyDescent="0.25">
      <c r="A21">
        <v>1</v>
      </c>
      <c r="B21">
        <v>6</v>
      </c>
      <c r="C21" t="s">
        <v>133</v>
      </c>
      <c r="D21">
        <v>20</v>
      </c>
      <c r="E21" s="2" t="s">
        <v>65</v>
      </c>
    </row>
    <row r="22" spans="1:5" x14ac:dyDescent="0.25">
      <c r="A22">
        <v>1</v>
      </c>
      <c r="B22">
        <v>7</v>
      </c>
      <c r="C22" t="s">
        <v>134</v>
      </c>
      <c r="D22">
        <v>21</v>
      </c>
      <c r="E22" s="2" t="s">
        <v>66</v>
      </c>
    </row>
    <row r="23" spans="1:5" x14ac:dyDescent="0.25">
      <c r="A23">
        <v>1</v>
      </c>
      <c r="B23">
        <v>7</v>
      </c>
      <c r="C23" t="s">
        <v>86</v>
      </c>
      <c r="D23">
        <v>22</v>
      </c>
      <c r="E23" s="2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I4" sqref="A2:I4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C2" s="1"/>
    </row>
    <row r="3" spans="1:9" x14ac:dyDescent="0.25">
      <c r="C3" s="1"/>
    </row>
    <row r="4" spans="1:9" x14ac:dyDescent="0.25">
      <c r="E4" s="1"/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workbookViewId="0">
      <selection activeCell="K22" sqref="K22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3.28515625" customWidth="1"/>
    <col min="9" max="9" width="22.42578125" bestFit="1" customWidth="1"/>
    <col min="10" max="10" width="10.42578125" bestFit="1" customWidth="1"/>
    <col min="13" max="13" width="12.140625" customWidth="1"/>
    <col min="14" max="14" width="19.85546875" customWidth="1"/>
  </cols>
  <sheetData>
    <row r="1" spans="1:15" ht="15.75" x14ac:dyDescent="0.25">
      <c r="A1" t="s">
        <v>22</v>
      </c>
      <c r="B1" t="s">
        <v>17</v>
      </c>
      <c r="C1" t="s">
        <v>8</v>
      </c>
      <c r="D1" s="7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139</v>
      </c>
      <c r="L1" s="5" t="s">
        <v>144</v>
      </c>
      <c r="M1" s="6" t="str">
        <f>CONCATENATE("Max ID:",LOOKUP(2,1/(COUNTIF(K2:K1000,"&gt;"&amp;K2:K1000&amp;"*")=0),K2:K1000))</f>
        <v>Max ID:J</v>
      </c>
      <c r="N1" t="s">
        <v>153</v>
      </c>
      <c r="O1" t="s">
        <v>156</v>
      </c>
    </row>
    <row r="2" spans="1:15" x14ac:dyDescent="0.25">
      <c r="A2" t="s">
        <v>23</v>
      </c>
      <c r="B2" t="s">
        <v>25</v>
      </c>
      <c r="C2">
        <v>1</v>
      </c>
      <c r="D2" s="2" t="s">
        <v>68</v>
      </c>
      <c r="E2">
        <v>4</v>
      </c>
      <c r="F2">
        <v>1</v>
      </c>
      <c r="G2">
        <v>25</v>
      </c>
      <c r="H2" t="s">
        <v>90</v>
      </c>
      <c r="I2" t="s">
        <v>82</v>
      </c>
      <c r="J2" s="1" t="str">
        <f>VLOOKUP(I2,Lectures!C$1:E1000,3,FALSE)</f>
        <v>2019-09-17</v>
      </c>
      <c r="L2" t="s">
        <v>146</v>
      </c>
    </row>
    <row r="3" spans="1:15" x14ac:dyDescent="0.25">
      <c r="A3" t="s">
        <v>24</v>
      </c>
      <c r="B3" t="s">
        <v>25</v>
      </c>
      <c r="C3">
        <v>1</v>
      </c>
      <c r="D3" s="2" t="s">
        <v>68</v>
      </c>
      <c r="E3">
        <v>4</v>
      </c>
      <c r="F3">
        <v>2</v>
      </c>
      <c r="G3">
        <v>25</v>
      </c>
      <c r="H3" t="s">
        <v>91</v>
      </c>
      <c r="I3" t="s">
        <v>82</v>
      </c>
      <c r="J3" s="1" t="str">
        <f>VLOOKUP(I3,Lectures!C$1:E1001,3,FALSE)</f>
        <v>2019-09-17</v>
      </c>
      <c r="L3" t="s">
        <v>146</v>
      </c>
    </row>
    <row r="4" spans="1:15" x14ac:dyDescent="0.25">
      <c r="A4" t="s">
        <v>25</v>
      </c>
      <c r="B4" t="s">
        <v>25</v>
      </c>
      <c r="C4">
        <v>1</v>
      </c>
      <c r="D4" s="2" t="s">
        <v>68</v>
      </c>
      <c r="E4">
        <v>4</v>
      </c>
      <c r="F4">
        <v>3</v>
      </c>
      <c r="G4">
        <v>25</v>
      </c>
      <c r="H4" t="s">
        <v>92</v>
      </c>
      <c r="I4" t="s">
        <v>83</v>
      </c>
      <c r="J4" s="1" t="str">
        <f>VLOOKUP(I4,Lectures!C$1:E1002,3,FALSE)</f>
        <v>2019-09-10</v>
      </c>
      <c r="L4" t="s">
        <v>146</v>
      </c>
    </row>
    <row r="5" spans="1:15" x14ac:dyDescent="0.25">
      <c r="A5" t="s">
        <v>26</v>
      </c>
      <c r="B5" t="s">
        <v>25</v>
      </c>
      <c r="C5">
        <v>1</v>
      </c>
      <c r="D5" s="2" t="s">
        <v>68</v>
      </c>
      <c r="E5">
        <v>4</v>
      </c>
      <c r="F5">
        <v>4</v>
      </c>
      <c r="G5">
        <v>25</v>
      </c>
      <c r="H5" t="s">
        <v>93</v>
      </c>
      <c r="I5" t="s">
        <v>84</v>
      </c>
      <c r="J5" s="1" t="str">
        <f>VLOOKUP(I5,Lectures!C$1:E1003,3,FALSE)</f>
        <v>2019-09-12</v>
      </c>
      <c r="L5" t="s">
        <v>146</v>
      </c>
    </row>
    <row r="6" spans="1:15" x14ac:dyDescent="0.25">
      <c r="B6" t="s">
        <v>25</v>
      </c>
      <c r="C6">
        <v>2</v>
      </c>
      <c r="D6" s="2" t="s">
        <v>69</v>
      </c>
      <c r="E6">
        <v>4</v>
      </c>
      <c r="F6">
        <v>1</v>
      </c>
      <c r="G6">
        <v>25</v>
      </c>
      <c r="H6" t="s">
        <v>92</v>
      </c>
      <c r="I6" t="s">
        <v>83</v>
      </c>
      <c r="J6" s="1" t="str">
        <f>VLOOKUP(I6,Lectures!C$1:E1004,3,FALSE)</f>
        <v>2019-09-10</v>
      </c>
      <c r="L6" t="s">
        <v>145</v>
      </c>
    </row>
    <row r="7" spans="1:15" x14ac:dyDescent="0.25">
      <c r="B7" t="s">
        <v>25</v>
      </c>
      <c r="C7">
        <v>2</v>
      </c>
      <c r="D7" s="2" t="s">
        <v>69</v>
      </c>
      <c r="E7">
        <v>4</v>
      </c>
      <c r="F7">
        <v>2</v>
      </c>
      <c r="G7">
        <v>25</v>
      </c>
      <c r="H7" t="s">
        <v>94</v>
      </c>
      <c r="I7" t="s">
        <v>85</v>
      </c>
      <c r="J7" s="1" t="str">
        <f>VLOOKUP(I7,Lectures!C$1:E1005,3,FALSE)</f>
        <v>2019-09-03</v>
      </c>
      <c r="L7" t="s">
        <v>145</v>
      </c>
    </row>
    <row r="8" spans="1:15" x14ac:dyDescent="0.25">
      <c r="B8" t="s">
        <v>25</v>
      </c>
      <c r="C8">
        <v>2</v>
      </c>
      <c r="D8" s="2" t="s">
        <v>69</v>
      </c>
      <c r="E8">
        <v>4</v>
      </c>
      <c r="F8">
        <v>3</v>
      </c>
      <c r="G8">
        <v>25</v>
      </c>
      <c r="H8" t="s">
        <v>95</v>
      </c>
      <c r="I8" t="s">
        <v>86</v>
      </c>
      <c r="J8" s="1" t="str">
        <f>VLOOKUP(I8,Lectures!C$1:E1006,3,FALSE)</f>
        <v>2019-10-17</v>
      </c>
      <c r="L8" t="s">
        <v>145</v>
      </c>
    </row>
    <row r="9" spans="1:15" x14ac:dyDescent="0.25">
      <c r="B9" t="s">
        <v>25</v>
      </c>
      <c r="C9">
        <v>2</v>
      </c>
      <c r="D9" s="2" t="s">
        <v>69</v>
      </c>
      <c r="E9">
        <v>4</v>
      </c>
      <c r="F9">
        <v>4</v>
      </c>
      <c r="G9">
        <v>25</v>
      </c>
      <c r="H9" t="s">
        <v>96</v>
      </c>
      <c r="I9" t="s">
        <v>85</v>
      </c>
      <c r="J9" s="1" t="str">
        <f>VLOOKUP(I9,Lectures!C$1:E1007,3,FALSE)</f>
        <v>2019-09-03</v>
      </c>
      <c r="L9" t="s">
        <v>145</v>
      </c>
    </row>
    <row r="10" spans="1:15" x14ac:dyDescent="0.25">
      <c r="B10" t="s">
        <v>25</v>
      </c>
      <c r="C10">
        <v>3</v>
      </c>
      <c r="D10" s="2" t="s">
        <v>70</v>
      </c>
      <c r="E10">
        <v>4</v>
      </c>
      <c r="F10">
        <v>1</v>
      </c>
      <c r="G10">
        <v>25</v>
      </c>
      <c r="H10" t="s">
        <v>97</v>
      </c>
      <c r="I10" t="s">
        <v>87</v>
      </c>
      <c r="J10" s="1" t="str">
        <f>VLOOKUP(I10,Lectures!C$1:E1008,3,FALSE)</f>
        <v>2019-09-05</v>
      </c>
      <c r="L10" t="s">
        <v>146</v>
      </c>
    </row>
    <row r="11" spans="1:15" x14ac:dyDescent="0.25">
      <c r="B11" t="s">
        <v>25</v>
      </c>
      <c r="C11">
        <v>3</v>
      </c>
      <c r="D11" s="2" t="s">
        <v>70</v>
      </c>
      <c r="E11">
        <v>4</v>
      </c>
      <c r="F11">
        <v>2</v>
      </c>
      <c r="G11">
        <v>25</v>
      </c>
      <c r="H11" t="s">
        <v>98</v>
      </c>
      <c r="I11" t="s">
        <v>83</v>
      </c>
      <c r="J11" s="1" t="str">
        <f>VLOOKUP(I11,Lectures!C$1:E1009,3,FALSE)</f>
        <v>2019-09-10</v>
      </c>
      <c r="L11" t="s">
        <v>147</v>
      </c>
    </row>
    <row r="12" spans="1:15" x14ac:dyDescent="0.25">
      <c r="B12" t="s">
        <v>25</v>
      </c>
      <c r="C12">
        <v>3</v>
      </c>
      <c r="D12" s="2" t="s">
        <v>70</v>
      </c>
      <c r="E12">
        <v>4</v>
      </c>
      <c r="F12">
        <v>3</v>
      </c>
      <c r="G12">
        <v>25</v>
      </c>
      <c r="H12" t="s">
        <v>99</v>
      </c>
      <c r="I12" t="s">
        <v>88</v>
      </c>
      <c r="J12" s="1" t="str">
        <f>VLOOKUP(I12,Lectures!C$1:E1010,3,FALSE)</f>
        <v>2019-09-19</v>
      </c>
      <c r="L12" t="s">
        <v>147</v>
      </c>
    </row>
    <row r="13" spans="1:15" x14ac:dyDescent="0.25">
      <c r="B13" t="s">
        <v>25</v>
      </c>
      <c r="C13">
        <v>3</v>
      </c>
      <c r="D13" s="2" t="s">
        <v>70</v>
      </c>
      <c r="E13">
        <v>4</v>
      </c>
      <c r="F13">
        <v>4</v>
      </c>
      <c r="G13">
        <v>25</v>
      </c>
      <c r="H13" t="s">
        <v>100</v>
      </c>
      <c r="I13" t="s">
        <v>88</v>
      </c>
      <c r="J13" s="1" t="str">
        <f>VLOOKUP(I13,Lectures!C$1:E1011,3,FALSE)</f>
        <v>2019-09-19</v>
      </c>
      <c r="L13" t="s">
        <v>147</v>
      </c>
    </row>
    <row r="14" spans="1:15" x14ac:dyDescent="0.25">
      <c r="B14" t="s">
        <v>25</v>
      </c>
      <c r="C14">
        <v>4</v>
      </c>
      <c r="D14" s="2" t="s">
        <v>71</v>
      </c>
      <c r="E14">
        <v>4</v>
      </c>
      <c r="F14">
        <v>1</v>
      </c>
      <c r="G14">
        <v>25</v>
      </c>
      <c r="H14" t="s">
        <v>101</v>
      </c>
      <c r="I14" t="s">
        <v>85</v>
      </c>
      <c r="J14" s="1" t="str">
        <f>VLOOKUP(I14,Lectures!C$1:E1012,3,FALSE)</f>
        <v>2019-09-03</v>
      </c>
      <c r="L14" t="s">
        <v>145</v>
      </c>
    </row>
    <row r="15" spans="1:15" x14ac:dyDescent="0.25">
      <c r="B15" t="s">
        <v>25</v>
      </c>
      <c r="C15">
        <v>4</v>
      </c>
      <c r="D15" s="2" t="s">
        <v>71</v>
      </c>
      <c r="E15">
        <v>4</v>
      </c>
      <c r="F15">
        <v>2</v>
      </c>
      <c r="G15">
        <v>25</v>
      </c>
      <c r="H15" t="s">
        <v>102</v>
      </c>
      <c r="I15" t="s">
        <v>87</v>
      </c>
      <c r="J15" s="1" t="str">
        <f>VLOOKUP(I15,Lectures!C$1:E1009,3,FALSE)</f>
        <v>2019-09-05</v>
      </c>
      <c r="L15" t="s">
        <v>145</v>
      </c>
    </row>
    <row r="16" spans="1:15" x14ac:dyDescent="0.25">
      <c r="B16" t="s">
        <v>25</v>
      </c>
      <c r="C16">
        <v>4</v>
      </c>
      <c r="D16" s="2" t="s">
        <v>71</v>
      </c>
      <c r="E16">
        <v>4</v>
      </c>
      <c r="F16">
        <v>3</v>
      </c>
      <c r="G16">
        <v>25</v>
      </c>
      <c r="H16" t="s">
        <v>103</v>
      </c>
      <c r="I16" t="s">
        <v>83</v>
      </c>
      <c r="J16" s="1" t="str">
        <f>VLOOKUP(I16,Lectures!C$1:E1010,3,FALSE)</f>
        <v>2019-09-10</v>
      </c>
      <c r="L16" t="s">
        <v>145</v>
      </c>
    </row>
    <row r="17" spans="2:15" x14ac:dyDescent="0.25">
      <c r="B17" t="s">
        <v>25</v>
      </c>
      <c r="C17">
        <v>4</v>
      </c>
      <c r="D17" s="2" t="s">
        <v>71</v>
      </c>
      <c r="E17">
        <v>4</v>
      </c>
      <c r="F17">
        <v>4</v>
      </c>
      <c r="G17">
        <v>25</v>
      </c>
      <c r="H17" t="s">
        <v>104</v>
      </c>
      <c r="I17" t="s">
        <v>84</v>
      </c>
      <c r="J17" s="1" t="str">
        <f>VLOOKUP(I17,Lectures!C$1:E1011,3,FALSE)</f>
        <v>2019-09-12</v>
      </c>
      <c r="L17" t="s">
        <v>145</v>
      </c>
    </row>
    <row r="18" spans="2:15" x14ac:dyDescent="0.25">
      <c r="B18" t="s">
        <v>25</v>
      </c>
      <c r="C18">
        <v>5</v>
      </c>
      <c r="D18" s="2" t="s">
        <v>72</v>
      </c>
      <c r="E18">
        <v>4</v>
      </c>
      <c r="F18">
        <v>1</v>
      </c>
      <c r="G18">
        <v>25</v>
      </c>
      <c r="H18" t="s">
        <v>105</v>
      </c>
      <c r="I18" t="s">
        <v>87</v>
      </c>
      <c r="J18" s="1" t="str">
        <f>VLOOKUP(I18,Lectures!C$1:E1012,3,FALSE)</f>
        <v>2019-09-05</v>
      </c>
      <c r="K18" t="s">
        <v>159</v>
      </c>
      <c r="L18" t="s">
        <v>151</v>
      </c>
      <c r="N18" t="s">
        <v>155</v>
      </c>
      <c r="O18" t="s">
        <v>154</v>
      </c>
    </row>
    <row r="19" spans="2:15" x14ac:dyDescent="0.25">
      <c r="B19" t="s">
        <v>25</v>
      </c>
      <c r="C19">
        <v>5</v>
      </c>
      <c r="D19" s="2" t="s">
        <v>72</v>
      </c>
      <c r="E19">
        <v>4</v>
      </c>
      <c r="F19">
        <v>2</v>
      </c>
      <c r="G19">
        <v>25</v>
      </c>
      <c r="H19" t="s">
        <v>106</v>
      </c>
      <c r="I19" t="s">
        <v>84</v>
      </c>
      <c r="J19" s="1" t="str">
        <f>VLOOKUP(I19,Lectures!C$1:E1013,3,FALSE)</f>
        <v>2019-09-12</v>
      </c>
      <c r="K19" t="s">
        <v>159</v>
      </c>
      <c r="O19" t="s">
        <v>154</v>
      </c>
    </row>
    <row r="20" spans="2:15" x14ac:dyDescent="0.25">
      <c r="B20" t="s">
        <v>25</v>
      </c>
      <c r="C20">
        <v>5</v>
      </c>
      <c r="D20" s="2" t="s">
        <v>72</v>
      </c>
      <c r="E20">
        <v>4</v>
      </c>
      <c r="F20">
        <v>3</v>
      </c>
      <c r="G20">
        <v>25</v>
      </c>
      <c r="H20" t="s">
        <v>107</v>
      </c>
      <c r="I20" t="s">
        <v>88</v>
      </c>
      <c r="J20" s="1" t="str">
        <f>VLOOKUP(I20,Lectures!C$1:E1014,3,FALSE)</f>
        <v>2019-09-19</v>
      </c>
      <c r="K20" s="3" t="s">
        <v>159</v>
      </c>
      <c r="O20" t="s">
        <v>154</v>
      </c>
    </row>
    <row r="21" spans="2:15" x14ac:dyDescent="0.25">
      <c r="B21" t="s">
        <v>25</v>
      </c>
      <c r="C21">
        <v>5</v>
      </c>
      <c r="D21" s="2" t="s">
        <v>72</v>
      </c>
      <c r="E21">
        <v>4</v>
      </c>
      <c r="F21">
        <v>4</v>
      </c>
      <c r="G21">
        <v>25</v>
      </c>
      <c r="H21" t="s">
        <v>100</v>
      </c>
      <c r="I21" t="s">
        <v>88</v>
      </c>
      <c r="J21" s="1" t="str">
        <f>VLOOKUP(I21,Lectures!C$1:E1015,3,FALSE)</f>
        <v>2019-09-19</v>
      </c>
      <c r="K21" s="3" t="s">
        <v>159</v>
      </c>
      <c r="O21" t="s">
        <v>154</v>
      </c>
    </row>
    <row r="22" spans="2:15" x14ac:dyDescent="0.25">
      <c r="B22" t="s">
        <v>25</v>
      </c>
      <c r="C22">
        <v>14</v>
      </c>
      <c r="D22" s="2" t="s">
        <v>73</v>
      </c>
      <c r="E22">
        <v>3</v>
      </c>
      <c r="F22">
        <v>1</v>
      </c>
      <c r="G22">
        <v>33</v>
      </c>
      <c r="H22" t="s">
        <v>108</v>
      </c>
      <c r="I22" t="s">
        <v>87</v>
      </c>
      <c r="J22" s="1" t="str">
        <f>VLOOKUP(I22,Lectures!C$1:E1016,3,FALSE)</f>
        <v>2019-09-05</v>
      </c>
      <c r="K22" s="3" t="s">
        <v>152</v>
      </c>
      <c r="L22" s="3"/>
      <c r="O22" t="s">
        <v>157</v>
      </c>
    </row>
    <row r="23" spans="2:15" x14ac:dyDescent="0.25">
      <c r="B23" t="s">
        <v>25</v>
      </c>
      <c r="C23">
        <v>14</v>
      </c>
      <c r="D23" s="2" t="s">
        <v>73</v>
      </c>
      <c r="E23">
        <v>3</v>
      </c>
      <c r="F23">
        <v>2</v>
      </c>
      <c r="G23">
        <v>33</v>
      </c>
      <c r="H23" t="s">
        <v>109</v>
      </c>
      <c r="I23" t="s">
        <v>85</v>
      </c>
      <c r="J23" s="1" t="str">
        <f>VLOOKUP(I23,Lectures!C$1:E1017,3,FALSE)</f>
        <v>2019-09-03</v>
      </c>
      <c r="K23" s="3" t="s">
        <v>152</v>
      </c>
      <c r="L23" s="3"/>
      <c r="O23" t="s">
        <v>157</v>
      </c>
    </row>
    <row r="24" spans="2:15" x14ac:dyDescent="0.25">
      <c r="B24" t="s">
        <v>25</v>
      </c>
      <c r="C24">
        <v>14</v>
      </c>
      <c r="D24" s="2" t="s">
        <v>73</v>
      </c>
      <c r="E24">
        <v>3</v>
      </c>
      <c r="F24">
        <v>3</v>
      </c>
      <c r="G24">
        <v>33</v>
      </c>
      <c r="H24" t="s">
        <v>110</v>
      </c>
      <c r="I24" t="s">
        <v>84</v>
      </c>
      <c r="J24" s="1" t="str">
        <f>VLOOKUP(I24,Lectures!C$1:E1018,3,FALSE)</f>
        <v>2019-09-12</v>
      </c>
      <c r="K24" s="3" t="s">
        <v>152</v>
      </c>
      <c r="L24" s="3"/>
      <c r="O24" t="s">
        <v>157</v>
      </c>
    </row>
    <row r="25" spans="2:15" x14ac:dyDescent="0.25">
      <c r="B25" t="s">
        <v>25</v>
      </c>
      <c r="C25">
        <v>6</v>
      </c>
      <c r="D25" s="2" t="s">
        <v>74</v>
      </c>
      <c r="E25">
        <v>3</v>
      </c>
      <c r="F25">
        <v>1</v>
      </c>
      <c r="G25">
        <v>33</v>
      </c>
      <c r="H25" t="s">
        <v>111</v>
      </c>
      <c r="I25" t="s">
        <v>87</v>
      </c>
      <c r="J25" s="1" t="str">
        <f>VLOOKUP(I25,Lectures!C$1:E1019,3,FALSE)</f>
        <v>2019-09-05</v>
      </c>
      <c r="K25" s="3" t="s">
        <v>158</v>
      </c>
    </row>
    <row r="26" spans="2:15" x14ac:dyDescent="0.25">
      <c r="B26" t="s">
        <v>25</v>
      </c>
      <c r="C26">
        <v>6</v>
      </c>
      <c r="D26" s="2" t="s">
        <v>74</v>
      </c>
      <c r="E26">
        <v>3</v>
      </c>
      <c r="F26">
        <v>2</v>
      </c>
      <c r="G26">
        <v>33</v>
      </c>
      <c r="H26" t="s">
        <v>112</v>
      </c>
      <c r="I26" t="s">
        <v>83</v>
      </c>
      <c r="J26" s="1" t="str">
        <f>VLOOKUP(I26,Lectures!C$1:E1020,3,FALSE)</f>
        <v>2019-09-10</v>
      </c>
      <c r="K26" s="3" t="s">
        <v>158</v>
      </c>
    </row>
    <row r="27" spans="2:15" x14ac:dyDescent="0.25">
      <c r="B27" t="s">
        <v>25</v>
      </c>
      <c r="C27">
        <v>7</v>
      </c>
      <c r="D27" s="2" t="s">
        <v>74</v>
      </c>
      <c r="E27">
        <v>3</v>
      </c>
      <c r="F27">
        <v>3</v>
      </c>
      <c r="G27">
        <v>33</v>
      </c>
      <c r="H27" t="s">
        <v>113</v>
      </c>
      <c r="I27" t="s">
        <v>83</v>
      </c>
      <c r="J27" s="1" t="str">
        <f>VLOOKUP(I27,Lectures!C$1:E1021,3,FALSE)</f>
        <v>2019-09-10</v>
      </c>
      <c r="K27" t="s">
        <v>148</v>
      </c>
    </row>
    <row r="28" spans="2:15" x14ac:dyDescent="0.25">
      <c r="B28" t="s">
        <v>25</v>
      </c>
      <c r="C28">
        <v>7</v>
      </c>
      <c r="D28" s="2" t="s">
        <v>75</v>
      </c>
      <c r="E28">
        <v>3</v>
      </c>
      <c r="F28">
        <v>1</v>
      </c>
      <c r="G28">
        <v>33</v>
      </c>
      <c r="H28" t="s">
        <v>114</v>
      </c>
      <c r="I28" t="s">
        <v>87</v>
      </c>
      <c r="J28" s="1" t="str">
        <f>VLOOKUP(I28,Lectures!C$1:E1022,3,FALSE)</f>
        <v>2019-09-05</v>
      </c>
      <c r="K28" t="s">
        <v>148</v>
      </c>
    </row>
    <row r="29" spans="2:15" x14ac:dyDescent="0.25">
      <c r="B29" t="s">
        <v>25</v>
      </c>
      <c r="C29">
        <v>7</v>
      </c>
      <c r="D29" s="2" t="s">
        <v>75</v>
      </c>
      <c r="E29">
        <v>3</v>
      </c>
      <c r="F29">
        <v>2</v>
      </c>
      <c r="G29">
        <v>33</v>
      </c>
      <c r="H29" t="s">
        <v>110</v>
      </c>
      <c r="I29" t="s">
        <v>84</v>
      </c>
      <c r="J29" s="1" t="str">
        <f>VLOOKUP(I29,Lectures!C$1:E1023,3,FALSE)</f>
        <v>2019-09-12</v>
      </c>
      <c r="K29" t="s">
        <v>148</v>
      </c>
    </row>
    <row r="30" spans="2:15" x14ac:dyDescent="0.25">
      <c r="B30" t="s">
        <v>25</v>
      </c>
      <c r="C30">
        <v>7</v>
      </c>
      <c r="D30" s="2" t="s">
        <v>75</v>
      </c>
      <c r="E30">
        <v>3</v>
      </c>
      <c r="F30">
        <v>3</v>
      </c>
      <c r="G30">
        <v>33</v>
      </c>
      <c r="H30" t="s">
        <v>115</v>
      </c>
      <c r="I30" t="s">
        <v>89</v>
      </c>
      <c r="J30" s="1" t="str">
        <f>VLOOKUP(I30,Lectures!C$1:E1024,3,FALSE)</f>
        <v>2019-09-24</v>
      </c>
      <c r="K30" t="s">
        <v>148</v>
      </c>
    </row>
    <row r="31" spans="2:15" x14ac:dyDescent="0.25">
      <c r="B31" t="s">
        <v>25</v>
      </c>
      <c r="C31">
        <v>8</v>
      </c>
      <c r="D31" s="2" t="s">
        <v>76</v>
      </c>
      <c r="E31">
        <v>3</v>
      </c>
      <c r="F31">
        <v>1</v>
      </c>
      <c r="G31">
        <v>33</v>
      </c>
      <c r="H31" t="s">
        <v>116</v>
      </c>
      <c r="I31" t="s">
        <v>87</v>
      </c>
      <c r="J31" s="1" t="str">
        <f>VLOOKUP(I31,Lectures!C$1:E1029,3,FALSE)</f>
        <v>2019-09-05</v>
      </c>
      <c r="K31" t="s">
        <v>149</v>
      </c>
    </row>
    <row r="32" spans="2:15" x14ac:dyDescent="0.25">
      <c r="B32" t="s">
        <v>25</v>
      </c>
      <c r="C32">
        <v>8</v>
      </c>
      <c r="D32" s="2" t="s">
        <v>76</v>
      </c>
      <c r="E32">
        <v>3</v>
      </c>
      <c r="F32">
        <v>2</v>
      </c>
      <c r="G32">
        <v>33</v>
      </c>
      <c r="H32" t="s">
        <v>117</v>
      </c>
      <c r="I32" t="s">
        <v>84</v>
      </c>
      <c r="J32" s="1" t="str">
        <f>VLOOKUP(I32,Lectures!C$1:E1030,3,FALSE)</f>
        <v>2019-09-12</v>
      </c>
      <c r="K32" t="s">
        <v>149</v>
      </c>
    </row>
    <row r="33" spans="2:11" x14ac:dyDescent="0.25">
      <c r="B33" t="s">
        <v>25</v>
      </c>
      <c r="C33">
        <v>8</v>
      </c>
      <c r="D33" s="2" t="s">
        <v>76</v>
      </c>
      <c r="E33">
        <v>3</v>
      </c>
      <c r="F33">
        <v>3</v>
      </c>
      <c r="G33">
        <v>33</v>
      </c>
      <c r="H33" t="s">
        <v>118</v>
      </c>
      <c r="I33" t="s">
        <v>83</v>
      </c>
      <c r="J33" s="1" t="str">
        <f>VLOOKUP(I33,Lectures!C$1:E1031,3,FALSE)</f>
        <v>2019-09-10</v>
      </c>
      <c r="K33" t="s">
        <v>149</v>
      </c>
    </row>
    <row r="34" spans="2:11" x14ac:dyDescent="0.25">
      <c r="B34" t="s">
        <v>25</v>
      </c>
      <c r="C34">
        <v>8</v>
      </c>
      <c r="D34" s="2" t="s">
        <v>77</v>
      </c>
      <c r="E34">
        <v>3</v>
      </c>
      <c r="F34">
        <v>1</v>
      </c>
      <c r="G34">
        <v>33</v>
      </c>
      <c r="H34" t="s">
        <v>119</v>
      </c>
      <c r="I34" t="s">
        <v>87</v>
      </c>
      <c r="J34" s="1" t="str">
        <f>VLOOKUP(I34,Lectures!C$1:E1032,3,FALSE)</f>
        <v>2019-09-05</v>
      </c>
      <c r="K34" t="s">
        <v>140</v>
      </c>
    </row>
    <row r="35" spans="2:11" x14ac:dyDescent="0.25">
      <c r="B35" t="s">
        <v>25</v>
      </c>
      <c r="C35">
        <v>8</v>
      </c>
      <c r="D35" s="2" t="s">
        <v>77</v>
      </c>
      <c r="E35">
        <v>3</v>
      </c>
      <c r="F35">
        <v>2</v>
      </c>
      <c r="G35">
        <v>33</v>
      </c>
      <c r="H35" t="s">
        <v>104</v>
      </c>
      <c r="I35" t="s">
        <v>84</v>
      </c>
      <c r="J35" s="1" t="str">
        <f>VLOOKUP(I35,Lectures!C$1:E1033,3,FALSE)</f>
        <v>2019-09-12</v>
      </c>
      <c r="K35" t="s">
        <v>140</v>
      </c>
    </row>
    <row r="36" spans="2:11" x14ac:dyDescent="0.25">
      <c r="B36" t="s">
        <v>25</v>
      </c>
      <c r="C36">
        <v>9</v>
      </c>
      <c r="D36" s="2" t="s">
        <v>77</v>
      </c>
      <c r="E36">
        <v>3</v>
      </c>
      <c r="F36">
        <v>3</v>
      </c>
      <c r="G36">
        <v>33</v>
      </c>
      <c r="H36" t="s">
        <v>120</v>
      </c>
      <c r="I36" t="s">
        <v>88</v>
      </c>
      <c r="J36" s="1" t="str">
        <f>VLOOKUP(I36,Lectures!C$1:E1025,3,FALSE)</f>
        <v>2019-09-19</v>
      </c>
      <c r="K36" t="s">
        <v>140</v>
      </c>
    </row>
    <row r="37" spans="2:11" x14ac:dyDescent="0.25">
      <c r="B37" t="s">
        <v>25</v>
      </c>
      <c r="C37">
        <v>9</v>
      </c>
      <c r="D37" s="2" t="s">
        <v>78</v>
      </c>
      <c r="E37">
        <v>3</v>
      </c>
      <c r="F37">
        <v>1</v>
      </c>
      <c r="G37">
        <v>33</v>
      </c>
      <c r="H37" t="s">
        <v>121</v>
      </c>
      <c r="I37" t="s">
        <v>87</v>
      </c>
      <c r="J37" s="1" t="str">
        <f>VLOOKUP(I37,Lectures!C$1:E1026,3,FALSE)</f>
        <v>2019-09-05</v>
      </c>
      <c r="K37" t="s">
        <v>141</v>
      </c>
    </row>
    <row r="38" spans="2:11" x14ac:dyDescent="0.25">
      <c r="B38" t="s">
        <v>25</v>
      </c>
      <c r="C38">
        <v>9</v>
      </c>
      <c r="D38" s="2" t="s">
        <v>78</v>
      </c>
      <c r="E38">
        <v>3</v>
      </c>
      <c r="F38">
        <v>2</v>
      </c>
      <c r="G38">
        <v>33</v>
      </c>
      <c r="H38" t="s">
        <v>122</v>
      </c>
      <c r="I38" t="s">
        <v>84</v>
      </c>
      <c r="J38" s="1" t="str">
        <f>VLOOKUP(I38,Lectures!C$1:E1027,3,FALSE)</f>
        <v>2019-09-12</v>
      </c>
      <c r="K38" t="s">
        <v>141</v>
      </c>
    </row>
    <row r="39" spans="2:11" x14ac:dyDescent="0.25">
      <c r="B39" t="s">
        <v>25</v>
      </c>
      <c r="C39">
        <v>9</v>
      </c>
      <c r="D39" s="2" t="s">
        <v>78</v>
      </c>
      <c r="E39">
        <v>3</v>
      </c>
      <c r="F39">
        <v>3</v>
      </c>
      <c r="G39">
        <v>33</v>
      </c>
      <c r="H39" t="s">
        <v>123</v>
      </c>
      <c r="I39" t="s">
        <v>83</v>
      </c>
      <c r="J39" s="1" t="str">
        <f>VLOOKUP(I39,Lectures!C$1:E1028,3,FALSE)</f>
        <v>2019-09-10</v>
      </c>
      <c r="K39" t="s">
        <v>141</v>
      </c>
    </row>
    <row r="40" spans="2:11" x14ac:dyDescent="0.25">
      <c r="B40" t="s">
        <v>25</v>
      </c>
      <c r="C40">
        <v>10</v>
      </c>
      <c r="D40" s="2" t="s">
        <v>79</v>
      </c>
      <c r="E40">
        <v>3</v>
      </c>
      <c r="F40">
        <v>1</v>
      </c>
      <c r="G40">
        <v>33</v>
      </c>
      <c r="H40" t="s">
        <v>124</v>
      </c>
      <c r="I40" t="s">
        <v>85</v>
      </c>
      <c r="J40" s="1" t="str">
        <f>VLOOKUP(I40,Lectures!C$1:E1034,3,FALSE)</f>
        <v>2019-09-03</v>
      </c>
      <c r="K40" t="s">
        <v>143</v>
      </c>
    </row>
    <row r="41" spans="2:11" x14ac:dyDescent="0.25">
      <c r="B41" t="s">
        <v>25</v>
      </c>
      <c r="C41">
        <v>10</v>
      </c>
      <c r="D41" s="2" t="s">
        <v>79</v>
      </c>
      <c r="E41">
        <v>3</v>
      </c>
      <c r="F41">
        <v>2</v>
      </c>
      <c r="G41">
        <v>33</v>
      </c>
      <c r="H41" t="s">
        <v>122</v>
      </c>
      <c r="I41" t="s">
        <v>84</v>
      </c>
      <c r="J41" s="1" t="str">
        <f>VLOOKUP(I41,Lectures!C$1:E1035,3,FALSE)</f>
        <v>2019-09-12</v>
      </c>
      <c r="K41" t="s">
        <v>143</v>
      </c>
    </row>
    <row r="42" spans="2:11" x14ac:dyDescent="0.25">
      <c r="B42" t="s">
        <v>25</v>
      </c>
      <c r="C42">
        <v>10</v>
      </c>
      <c r="D42" s="2" t="s">
        <v>79</v>
      </c>
      <c r="E42">
        <v>3</v>
      </c>
      <c r="F42">
        <v>3</v>
      </c>
      <c r="G42">
        <v>33</v>
      </c>
      <c r="H42" t="s">
        <v>125</v>
      </c>
      <c r="I42" t="s">
        <v>87</v>
      </c>
      <c r="J42" s="1" t="str">
        <f>VLOOKUP(I42,Lectures!C$1:E1036,3,FALSE)</f>
        <v>2019-09-05</v>
      </c>
      <c r="K42" t="s">
        <v>143</v>
      </c>
    </row>
    <row r="43" spans="2:11" x14ac:dyDescent="0.25">
      <c r="B43" t="s">
        <v>25</v>
      </c>
      <c r="C43">
        <v>11</v>
      </c>
      <c r="D43" s="2" t="s">
        <v>80</v>
      </c>
      <c r="E43">
        <v>3</v>
      </c>
      <c r="F43">
        <v>1</v>
      </c>
      <c r="G43">
        <v>33</v>
      </c>
      <c r="H43" t="s">
        <v>126</v>
      </c>
      <c r="I43" t="s">
        <v>87</v>
      </c>
      <c r="J43" s="1" t="str">
        <f>VLOOKUP(I43,Lectures!C$1:E1037,3,FALSE)</f>
        <v>2019-09-05</v>
      </c>
      <c r="K43" t="s">
        <v>150</v>
      </c>
    </row>
    <row r="44" spans="2:11" x14ac:dyDescent="0.25">
      <c r="B44" t="s">
        <v>25</v>
      </c>
      <c r="C44">
        <v>11</v>
      </c>
      <c r="D44" s="2" t="s">
        <v>80</v>
      </c>
      <c r="E44">
        <v>3</v>
      </c>
      <c r="F44">
        <v>2</v>
      </c>
      <c r="G44">
        <v>33</v>
      </c>
      <c r="H44" t="s">
        <v>104</v>
      </c>
      <c r="I44" t="s">
        <v>84</v>
      </c>
      <c r="J44" s="1" t="str">
        <f>VLOOKUP(I44,Lectures!C$1:E1038,3,FALSE)</f>
        <v>2019-09-12</v>
      </c>
      <c r="K44" t="s">
        <v>150</v>
      </c>
    </row>
    <row r="45" spans="2:11" x14ac:dyDescent="0.25">
      <c r="B45" t="s">
        <v>25</v>
      </c>
      <c r="C45">
        <v>11</v>
      </c>
      <c r="D45" s="4" t="s">
        <v>80</v>
      </c>
      <c r="E45">
        <v>3</v>
      </c>
      <c r="F45">
        <v>3</v>
      </c>
      <c r="G45">
        <v>33</v>
      </c>
      <c r="H45" t="s">
        <v>120</v>
      </c>
      <c r="I45" t="s">
        <v>88</v>
      </c>
      <c r="J45" s="1" t="str">
        <f>VLOOKUP(I45,Lectures!C$1:E1039,3,FALSE)</f>
        <v>2019-09-19</v>
      </c>
      <c r="K45" t="s">
        <v>150</v>
      </c>
    </row>
    <row r="46" spans="2:11" x14ac:dyDescent="0.25">
      <c r="B46" t="s">
        <v>25</v>
      </c>
      <c r="C46">
        <v>12</v>
      </c>
      <c r="D46" s="2" t="s">
        <v>81</v>
      </c>
      <c r="E46">
        <v>4</v>
      </c>
      <c r="F46">
        <v>1</v>
      </c>
      <c r="G46">
        <v>25</v>
      </c>
      <c r="H46" t="s">
        <v>127</v>
      </c>
      <c r="I46" t="s">
        <v>83</v>
      </c>
      <c r="J46" s="1" t="str">
        <f>VLOOKUP(I46,Lectures!C$1:E1040,3,FALSE)</f>
        <v>2019-09-10</v>
      </c>
      <c r="K46" t="s">
        <v>142</v>
      </c>
    </row>
    <row r="47" spans="2:11" x14ac:dyDescent="0.25">
      <c r="B47" t="s">
        <v>25</v>
      </c>
      <c r="C47">
        <v>12</v>
      </c>
      <c r="D47" s="4" t="s">
        <v>81</v>
      </c>
      <c r="E47">
        <v>4</v>
      </c>
      <c r="F47">
        <v>2</v>
      </c>
      <c r="G47">
        <v>25</v>
      </c>
      <c r="H47" t="s">
        <v>128</v>
      </c>
      <c r="I47" t="s">
        <v>86</v>
      </c>
      <c r="J47" s="1" t="str">
        <f>VLOOKUP(I47,Lectures!C$1:E1041,3,FALSE)</f>
        <v>2019-10-17</v>
      </c>
      <c r="K47" t="s">
        <v>142</v>
      </c>
    </row>
    <row r="48" spans="2:11" x14ac:dyDescent="0.25">
      <c r="B48" t="s">
        <v>25</v>
      </c>
      <c r="C48">
        <v>13</v>
      </c>
      <c r="D48" s="2" t="s">
        <v>81</v>
      </c>
      <c r="E48">
        <v>4</v>
      </c>
      <c r="F48">
        <v>3</v>
      </c>
      <c r="G48">
        <v>25</v>
      </c>
      <c r="H48" t="s">
        <v>120</v>
      </c>
      <c r="I48" t="s">
        <v>88</v>
      </c>
      <c r="J48" s="1" t="str">
        <f>VLOOKUP(I48,Lectures!C$1:E1042,3,FALSE)</f>
        <v>2019-09-19</v>
      </c>
      <c r="K48" t="s">
        <v>142</v>
      </c>
    </row>
    <row r="49" spans="2:11" x14ac:dyDescent="0.25">
      <c r="B49" t="s">
        <v>25</v>
      </c>
      <c r="C49">
        <v>13</v>
      </c>
      <c r="D49" s="2" t="s">
        <v>81</v>
      </c>
      <c r="E49">
        <v>4</v>
      </c>
      <c r="F49">
        <v>4</v>
      </c>
      <c r="G49">
        <v>25</v>
      </c>
      <c r="H49" t="s">
        <v>129</v>
      </c>
      <c r="I49" t="s">
        <v>87</v>
      </c>
      <c r="J49" s="1" t="str">
        <f>VLOOKUP(I49,Lectures!C$1:E1043,3,FALSE)</f>
        <v>2019-09-05</v>
      </c>
      <c r="K49" t="s">
        <v>142</v>
      </c>
    </row>
    <row r="50" spans="2:11" x14ac:dyDescent="0.25">
      <c r="J50" s="1" t="e">
        <f>VLOOKUP(I50,Lectures!C$1:E1044,3,FALSE)</f>
        <v>#N/A</v>
      </c>
    </row>
    <row r="51" spans="2:11" x14ac:dyDescent="0.25">
      <c r="J51" s="1" t="e">
        <f>VLOOKUP(I51,Lectures!C$1:E1045,3,FALSE)</f>
        <v>#N/A</v>
      </c>
    </row>
    <row r="52" spans="2:11" x14ac:dyDescent="0.25">
      <c r="J52" s="1" t="e">
        <f>VLOOKUP(I52,Lectures!C$1:E1046,3,FALSE)</f>
        <v>#N/A</v>
      </c>
    </row>
    <row r="53" spans="2:11" x14ac:dyDescent="0.25">
      <c r="J53" s="1" t="e">
        <f>VLOOKUP(I53,Lectures!C$1:E1047,3,FALSE)</f>
        <v>#N/A</v>
      </c>
    </row>
    <row r="54" spans="2:11" x14ac:dyDescent="0.25">
      <c r="J54" s="1" t="e">
        <f>VLOOKUP(I54,Lectures!C$1:E1048,3,FALSE)</f>
        <v>#N/A</v>
      </c>
    </row>
    <row r="55" spans="2:11" x14ac:dyDescent="0.25">
      <c r="J55" s="1" t="e">
        <f>VLOOKUP(I55,Lectures!C$1:E1049,3,FALSE)</f>
        <v>#N/A</v>
      </c>
    </row>
    <row r="56" spans="2:11" x14ac:dyDescent="0.25">
      <c r="J56" s="1" t="e">
        <f>VLOOKUP(I56,Lectures!C$1:E1050,3,FALSE)</f>
        <v>#N/A</v>
      </c>
    </row>
    <row r="57" spans="2:11" x14ac:dyDescent="0.25">
      <c r="J57" s="1" t="e">
        <f>VLOOKUP(I57,Lectures!C$1:E1051,3,FALSE)</f>
        <v>#N/A</v>
      </c>
    </row>
    <row r="58" spans="2:11" x14ac:dyDescent="0.25">
      <c r="J58" s="1" t="e">
        <f>VLOOKUP(I58,Lectures!C$1:E1052,3,FALSE)</f>
        <v>#N/A</v>
      </c>
    </row>
    <row r="59" spans="2:11" x14ac:dyDescent="0.25">
      <c r="J59" s="1" t="e">
        <f>VLOOKUP(I59,Lectures!C$1:E1053,3,FALSE)</f>
        <v>#N/A</v>
      </c>
    </row>
    <row r="60" spans="2:11" x14ac:dyDescent="0.25">
      <c r="J60" s="1" t="e">
        <f>VLOOKUP(I60,Lectures!C$1:E1054,3,FALSE)</f>
        <v>#N/A</v>
      </c>
    </row>
    <row r="61" spans="2:11" x14ac:dyDescent="0.25">
      <c r="J61" s="1" t="e">
        <f>VLOOKUP(I61,Lectures!C$1:E1055,3,FALSE)</f>
        <v>#N/A</v>
      </c>
    </row>
    <row r="62" spans="2:11" x14ac:dyDescent="0.25">
      <c r="J62" s="1" t="e">
        <f>VLOOKUP(I62,Lectures!C$1:E1056,3,FALSE)</f>
        <v>#N/A</v>
      </c>
    </row>
    <row r="63" spans="2:11" x14ac:dyDescent="0.25">
      <c r="J63" s="1" t="e">
        <f>VLOOKUP(I63,Lectures!C$1:E1057,3,FALSE)</f>
        <v>#N/A</v>
      </c>
    </row>
    <row r="64" spans="2:11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autoFilter ref="A1:J1149" xr:uid="{368BFC67-D1CA-447C-A63A-1CB81F319BCF}"/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36</v>
      </c>
      <c r="F2" t="s">
        <v>32</v>
      </c>
      <c r="G2" s="1" t="e">
        <f>VLOOKUP(F2,Lectures!C$1:E1016,3,FALSE)</f>
        <v>#N/A</v>
      </c>
    </row>
    <row r="3" spans="1:7" x14ac:dyDescent="0.25">
      <c r="A3">
        <v>2</v>
      </c>
      <c r="E3" t="s">
        <v>37</v>
      </c>
      <c r="F3" t="s">
        <v>32</v>
      </c>
      <c r="G3" s="1" t="e">
        <f>VLOOKUP(F3,Lectures!C$1:E1017,3,FALSE)</f>
        <v>#N/A</v>
      </c>
    </row>
    <row r="4" spans="1:7" x14ac:dyDescent="0.25">
      <c r="A4">
        <v>1</v>
      </c>
      <c r="E4" t="s">
        <v>38</v>
      </c>
      <c r="F4" t="s">
        <v>52</v>
      </c>
      <c r="G4" s="1" t="e">
        <f>VLOOKUP(F4,Lectures!C$1:E1018,3,FALSE)</f>
        <v>#N/A</v>
      </c>
    </row>
    <row r="5" spans="1:7" x14ac:dyDescent="0.25">
      <c r="A5">
        <v>2</v>
      </c>
      <c r="E5" t="s">
        <v>39</v>
      </c>
      <c r="F5" t="s">
        <v>52</v>
      </c>
      <c r="G5" s="1" t="e">
        <f>VLOOKUP(F5,Lectures!C$1:E1019,3,FALSE)</f>
        <v>#N/A</v>
      </c>
    </row>
    <row r="6" spans="1:7" x14ac:dyDescent="0.25">
      <c r="A6">
        <v>3</v>
      </c>
      <c r="E6" t="s">
        <v>40</v>
      </c>
      <c r="F6" t="s">
        <v>52</v>
      </c>
      <c r="G6" s="1" t="e">
        <f>VLOOKUP(F6,Lectures!C$1:E1020,3,FALSE)</f>
        <v>#N/A</v>
      </c>
    </row>
    <row r="7" spans="1:7" x14ac:dyDescent="0.25">
      <c r="A7">
        <v>1</v>
      </c>
      <c r="E7" t="s">
        <v>41</v>
      </c>
      <c r="F7" t="s">
        <v>33</v>
      </c>
      <c r="G7" s="1" t="e">
        <f>VLOOKUP(F7,Lectures!C$1:E1021,3,FALSE)</f>
        <v>#N/A</v>
      </c>
    </row>
    <row r="8" spans="1:7" x14ac:dyDescent="0.25">
      <c r="A8">
        <v>1</v>
      </c>
      <c r="E8" t="s">
        <v>42</v>
      </c>
      <c r="F8" t="s">
        <v>53</v>
      </c>
      <c r="G8" s="1" t="e">
        <f>VLOOKUP(F8,Lectures!C$1:E1022,3,FALSE)</f>
        <v>#N/A</v>
      </c>
    </row>
    <row r="9" spans="1:7" x14ac:dyDescent="0.25">
      <c r="A9">
        <v>2</v>
      </c>
      <c r="E9" t="s">
        <v>43</v>
      </c>
      <c r="F9" t="s">
        <v>53</v>
      </c>
      <c r="G9" s="1" t="e">
        <f>VLOOKUP(F9,Lectures!C$1:E1023,3,FALSE)</f>
        <v>#N/A</v>
      </c>
    </row>
    <row r="10" spans="1:7" x14ac:dyDescent="0.25">
      <c r="A10">
        <v>3</v>
      </c>
      <c r="E10" t="s">
        <v>55</v>
      </c>
      <c r="F10" t="s">
        <v>53</v>
      </c>
      <c r="G10" s="1" t="e">
        <f>VLOOKUP(F10,Lectures!C$1:E1024,3,FALSE)</f>
        <v>#N/A</v>
      </c>
    </row>
    <row r="11" spans="1:7" x14ac:dyDescent="0.25">
      <c r="A11">
        <v>4</v>
      </c>
      <c r="E11" t="s">
        <v>44</v>
      </c>
      <c r="F11" t="s">
        <v>53</v>
      </c>
      <c r="G11" s="1" t="e">
        <f>VLOOKUP(F11,Lectures!C$1:E1025,3,FALSE)</f>
        <v>#N/A</v>
      </c>
    </row>
    <row r="12" spans="1:7" x14ac:dyDescent="0.25">
      <c r="A12">
        <v>1</v>
      </c>
      <c r="E12" t="s">
        <v>45</v>
      </c>
      <c r="F12" t="s">
        <v>54</v>
      </c>
      <c r="G12" s="1" t="e">
        <f>VLOOKUP(F12,Lectures!C$1:E1026,3,FALSE)</f>
        <v>#N/A</v>
      </c>
    </row>
    <row r="13" spans="1:7" x14ac:dyDescent="0.25">
      <c r="A13">
        <v>2</v>
      </c>
      <c r="E13" t="s">
        <v>45</v>
      </c>
      <c r="F13" t="s">
        <v>54</v>
      </c>
      <c r="G13" s="1" t="e">
        <f>VLOOKUP(F13,Lectures!C$1:E1027,3,FALSE)</f>
        <v>#N/A</v>
      </c>
    </row>
    <row r="14" spans="1:7" x14ac:dyDescent="0.25">
      <c r="A14">
        <v>3</v>
      </c>
      <c r="E14" t="s">
        <v>46</v>
      </c>
      <c r="F14" t="s">
        <v>54</v>
      </c>
      <c r="G14" s="1" t="e">
        <f>VLOOKUP(F14,Lectures!C$1:E1028,3,FALSE)</f>
        <v>#N/A</v>
      </c>
    </row>
    <row r="15" spans="1:7" x14ac:dyDescent="0.25">
      <c r="A15">
        <v>1</v>
      </c>
      <c r="E15" t="s">
        <v>47</v>
      </c>
      <c r="F15" t="s">
        <v>34</v>
      </c>
      <c r="G15" s="1" t="e">
        <f>VLOOKUP(F15,Lectures!C$1:E1029,3,FALSE)</f>
        <v>#N/A</v>
      </c>
    </row>
    <row r="16" spans="1:7" x14ac:dyDescent="0.25">
      <c r="A16">
        <v>2</v>
      </c>
      <c r="E16" t="s">
        <v>48</v>
      </c>
      <c r="F16" t="s">
        <v>34</v>
      </c>
      <c r="G16" s="1" t="e">
        <f>VLOOKUP(F16,Lectures!C$1:E1030,3,FALSE)</f>
        <v>#N/A</v>
      </c>
    </row>
    <row r="17" spans="1:7" x14ac:dyDescent="0.25">
      <c r="A17">
        <v>3</v>
      </c>
      <c r="E17" t="s">
        <v>49</v>
      </c>
      <c r="F17" t="s">
        <v>34</v>
      </c>
      <c r="G17" s="1" t="e">
        <f>VLOOKUP(F17,Lectures!C$1:E1031,3,FALSE)</f>
        <v>#N/A</v>
      </c>
    </row>
    <row r="18" spans="1:7" x14ac:dyDescent="0.25">
      <c r="A18">
        <v>4</v>
      </c>
      <c r="E18" t="s">
        <v>50</v>
      </c>
      <c r="F18" t="s">
        <v>34</v>
      </c>
      <c r="G18" s="1" t="e">
        <f>VLOOKUP(F18,Lectures!C$1:E1032,3,FALSE)</f>
        <v>#N/A</v>
      </c>
    </row>
    <row r="19" spans="1:7" x14ac:dyDescent="0.25">
      <c r="A19">
        <v>1</v>
      </c>
      <c r="E19" t="s">
        <v>51</v>
      </c>
      <c r="F19" t="s">
        <v>35</v>
      </c>
      <c r="G19" s="1" t="e">
        <f>VLOOKUP(F19,Lectures!C$1:E1033,3,FALSE)</f>
        <v>#N/A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autoFilter ref="A1:G768" xr:uid="{74ECA3A4-CCF6-4394-A34E-5B5615BD3B62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D3" sqref="D3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135</v>
      </c>
      <c r="C2">
        <v>3</v>
      </c>
      <c r="D2">
        <v>100</v>
      </c>
    </row>
  </sheetData>
  <autoFilter ref="A1:D2" xr:uid="{09E3B25B-19D0-4D85-BD28-8E68391187AE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2019-10-22T10:15:52Z</dcterms:modified>
</cp:coreProperties>
</file>