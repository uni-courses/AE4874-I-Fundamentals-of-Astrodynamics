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public\AE4874-I-Fundamentals-of-Astrodynamics\CoursePlanningTemplate\"/>
    </mc:Choice>
  </mc:AlternateContent>
  <xr:revisionPtr revIDLastSave="0" documentId="13_ncr:1_{F9298168-EF6D-450A-8169-EB148F4A2568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DB2D6190-6315-46A2-A487-2D50A9F25DBA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D9553EBE-5721-4C9D-967F-C8A145A7C9C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C46F22F2-603A-4FDF-948A-0854BAB56FD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E7E6BB4-BE25-40D5-986C-84B223C1F3D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<sst xmlns="http://schemas.openxmlformats.org/spreadsheetml/2006/main" count="386" uniqueCount="160">
  <si>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</si>
  <si>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</si>
  <si>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</si>
  <si>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</si>
  <si>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</si>
  <si>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</si>
  <si>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</si>
  <si>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</si>
  <si>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</si>
  <si>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</si>
  <si>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</si>
  <si>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</si>
  <si>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</si>
  <si>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</si>
  <si>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</si>
  <si>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</si>
  <si>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</si>
  <si>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</si>
  <si>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</si>
  <si>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</si>
  <si>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</si>
  <si>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</si>
  <si>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</si>
  <si>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</si>
  <si>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</si>
  <si>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</si>
  <si>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</si>
  <si>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</si>
  <si>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</si>
  <si>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</si>
  <si>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</si>
  <si>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</si>
  <si>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</si>
  <si>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</si>
  <si>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</si>
  <si>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</si>
  <si>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</si>
  <si>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</si>
  <si>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</si>
  <si>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</si>
  <si>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</si>
  <si>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</si>
  <si>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</si>
  <si>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</si>
  <si>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</si>
  <si>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</si>
  <si>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</si>
  <si>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</si>
  <si>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</si>
  <si>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</si>
  <si>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</si>
  <si>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</si>
  <si>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</si>
  <si>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</si>
  <si>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</si>
  <si>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</si>
  <si>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</si>
  <si>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</si>
  <si>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</si>
  <si>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</si>
  <si>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</si>
  <si>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</si>
  <si>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</si>
  <si>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</si>
  <si>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</si>
  <si>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</si>
  <si>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</si>
  <si>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</si>
  <si>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</si>
  <si>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</si>
  <si>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</si>
  <si>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</si>
  <si>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</si>
  <si>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</si>
  <si>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</si>
  <si>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</si>
  <si>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</si>
  <si>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</si>
  <si>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</si>
  <si>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</si>
  <si>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</si>
  <si>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</si>
  <si>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</si>
  <si>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</si>
  <si>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</si>
  <si>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</si>
  <si>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</si>
  <si>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</si>
  <si>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</si>
  <si>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</si>
  <si>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</si>
  <si>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</si>
  <si>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</si>
  <si>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</si>
  <si>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</si>
  <si>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</si>
  <si>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</si>
  <si>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</si>
  <si>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</si>
  <si>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</si>
  <si>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</si>
  <si>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</si>
  <si>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</si>
  <si>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</si>
  <si>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</si>
  <si>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</si>
  <si>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</si>
  <si>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</si>
  <si>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</si>
  <si>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</si>
  <si>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</si>
  <si>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</si>
  <si>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</si>
  <si>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</si>
  <si>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</si>
  <si>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</si>
  <si>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</si>
  <si>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</si>
  <si>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</si>
  <si>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</si>
  <si>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</si>
  <si>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</si>
  <si>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</si>
  <si>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</si>
  <si>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</si>
  <si>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</si>
  <si>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</si>
  <si>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</si>
  <si>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</si>
  <si>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</si>
  <si>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</si>
  <si>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</si>
  <si>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</si>
  <si>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</si>
  <si>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</si>
  <si>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</si>
  <si>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</si>
  <si>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</si>
  <si>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</si>
  <si>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</si>
  <si>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</si>
  <si>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</si>
  <si>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</si>
  <si>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</si>
  <si>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</si>
  <si>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</si>
  <si>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</si>
  <si>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</si>
  <si>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</si>
  <si>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</si>
  <si>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no</t>
  </si>
  <si>
    <t>H</t>
  </si>
  <si>
    <t>Comments:</t>
  </si>
  <si>
    <t>Dutch</t>
  </si>
  <si>
    <t>is jAN2008 on studo</t>
  </si>
  <si>
    <t>lang</t>
  </si>
  <si>
    <t>English</t>
  </si>
  <si>
    <t>I</t>
  </si>
  <si>
    <t>J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</si>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</sst>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13" workbookViewId="0">
      <selection activeCell="K28" sqref="K28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3.28515625" customWidth="1"/>
    <col min="9" max="9" width="22.42578125" bestFit="1" customWidth="1"/>
    <col min="10" max="10" width="10.42578125" bestFit="1" customWidth="1"/>
    <col min="13" max="13" width="12.140625" customWidth="1"/>
    <col min="14" max="14" width="19.8554687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7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139</v>
      </c>
      <c r="L1" s="5" t="s">
        <v>144</v>
      </c>
      <c r="M1" s="6" t="str">
        <f>CONCATENATE("Max ID:",LOOKUP(2,1/(COUNTIF(K2:K1000,"&gt;"&amp;K2:K1000&amp;"*")=0),K2:K1000))</f>
        <v>Max ID:K</v>
      </c>
      <c r="N1" t="s">
        <v>152</v>
      </c>
      <c r="O1" t="s">
        <v>155</v>
      </c>
    </row>
    <row r="2" spans="1:15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5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5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5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5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5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5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5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5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5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K11" t="s">
        <v>159</v>
      </c>
      <c r="L11" t="s">
        <v>147</v>
      </c>
    </row>
    <row r="12" spans="1:15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K12" t="s">
        <v>159</v>
      </c>
      <c r="L12" t="s">
        <v>147</v>
      </c>
    </row>
    <row r="13" spans="1:15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K13" t="s">
        <v>159</v>
      </c>
      <c r="L13" t="s">
        <v>147</v>
      </c>
    </row>
    <row r="14" spans="1:15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5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5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5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5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K18" t="s">
        <v>158</v>
      </c>
      <c r="L18" t="s">
        <v>150</v>
      </c>
      <c r="N18" t="s">
        <v>154</v>
      </c>
      <c r="O18" t="s">
        <v>153</v>
      </c>
    </row>
    <row r="19" spans="2:15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K19" t="s">
        <v>158</v>
      </c>
      <c r="O19" t="s">
        <v>153</v>
      </c>
    </row>
    <row r="20" spans="2:15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3" t="s">
        <v>158</v>
      </c>
      <c r="O20" t="s">
        <v>153</v>
      </c>
    </row>
    <row r="21" spans="2:15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3" t="s">
        <v>158</v>
      </c>
      <c r="O21" t="s">
        <v>153</v>
      </c>
    </row>
    <row r="22" spans="2:15" x14ac:dyDescent="0.25">
      <c r="B22" t="s">
        <v>25</v>
      </c>
      <c r="C22">
        <v>14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  <c r="K22" s="3" t="s">
        <v>151</v>
      </c>
      <c r="L22" s="3"/>
      <c r="O22" t="s">
        <v>156</v>
      </c>
    </row>
    <row r="23" spans="2:15" x14ac:dyDescent="0.25">
      <c r="B23" t="s">
        <v>25</v>
      </c>
      <c r="C23">
        <v>14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  <c r="K23" s="3" t="s">
        <v>151</v>
      </c>
      <c r="L23" s="3"/>
      <c r="O23" t="s">
        <v>156</v>
      </c>
    </row>
    <row r="24" spans="2:15" x14ac:dyDescent="0.25">
      <c r="B24" t="s">
        <v>25</v>
      </c>
      <c r="C24">
        <v>14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  <c r="K24" s="3" t="s">
        <v>151</v>
      </c>
      <c r="L24" s="3"/>
      <c r="O24" t="s">
        <v>156</v>
      </c>
    </row>
    <row r="25" spans="2:15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  <c r="K25" s="3" t="s">
        <v>157</v>
      </c>
    </row>
    <row r="26" spans="2:15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  <c r="K26" s="3" t="s">
        <v>157</v>
      </c>
    </row>
    <row r="27" spans="2:15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157</v>
      </c>
    </row>
    <row r="28" spans="2:15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5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5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5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5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25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</row>
    <row r="44" spans="2:11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</row>
    <row r="45" spans="2:11" x14ac:dyDescent="0.25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</row>
    <row r="46" spans="2:11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25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25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25">
      <c r="J50" s="1" t="e">
        <f>VLOOKUP(I50,Lectures!C$1:E1044,3,FALSE)</f>
        <v>#N/A</v>
      </c>
    </row>
    <row r="51" spans="2:11" x14ac:dyDescent="0.25">
      <c r="J51" s="1" t="e">
        <f>VLOOKUP(I51,Lectures!C$1:E1045,3,FALSE)</f>
        <v>#N/A</v>
      </c>
    </row>
    <row r="52" spans="2:11" x14ac:dyDescent="0.25">
      <c r="J52" s="1" t="e">
        <f>VLOOKUP(I52,Lectures!C$1:E1046,3,FALSE)</f>
        <v>#N/A</v>
      </c>
    </row>
    <row r="53" spans="2:11" x14ac:dyDescent="0.25">
      <c r="J53" s="1" t="e">
        <f>VLOOKUP(I53,Lectures!C$1:E1047,3,FALSE)</f>
        <v>#N/A</v>
      </c>
    </row>
    <row r="54" spans="2:11" x14ac:dyDescent="0.25">
      <c r="J54" s="1" t="e">
        <f>VLOOKUP(I54,Lectures!C$1:E1048,3,FALSE)</f>
        <v>#N/A</v>
      </c>
    </row>
    <row r="55" spans="2:11" x14ac:dyDescent="0.25">
      <c r="J55" s="1" t="e">
        <f>VLOOKUP(I55,Lectures!C$1:E1049,3,FALSE)</f>
        <v>#N/A</v>
      </c>
    </row>
    <row r="56" spans="2:11" x14ac:dyDescent="0.25">
      <c r="J56" s="1" t="e">
        <f>VLOOKUP(I56,Lectures!C$1:E1050,3,FALSE)</f>
        <v>#N/A</v>
      </c>
    </row>
    <row r="57" spans="2:11" x14ac:dyDescent="0.25">
      <c r="J57" s="1" t="e">
        <f>VLOOKUP(I57,Lectures!C$1:E1051,3,FALSE)</f>
        <v>#N/A</v>
      </c>
    </row>
    <row r="58" spans="2:11" x14ac:dyDescent="0.25">
      <c r="J58" s="1" t="e">
        <f>VLOOKUP(I58,Lectures!C$1:E1052,3,FALSE)</f>
        <v>#N/A</v>
      </c>
    </row>
    <row r="59" spans="2:11" x14ac:dyDescent="0.25">
      <c r="J59" s="1" t="e">
        <f>VLOOKUP(I59,Lectures!C$1:E1053,3,FALSE)</f>
        <v>#N/A</v>
      </c>
    </row>
    <row r="60" spans="2:11" x14ac:dyDescent="0.25">
      <c r="J60" s="1" t="e">
        <f>VLOOKUP(I60,Lectures!C$1:E1054,3,FALSE)</f>
        <v>#N/A</v>
      </c>
    </row>
    <row r="61" spans="2:11" x14ac:dyDescent="0.25">
      <c r="J61" s="1" t="e">
        <f>VLOOKUP(I61,Lectures!C$1:E1055,3,FALSE)</f>
        <v>#N/A</v>
      </c>
    </row>
    <row r="62" spans="2:11" x14ac:dyDescent="0.25">
      <c r="J62" s="1" t="e">
        <f>VLOOKUP(I62,Lectures!C$1:E1056,3,FALSE)</f>
        <v>#N/A</v>
      </c>
    </row>
    <row r="63" spans="2:11" x14ac:dyDescent="0.25">
      <c r="J63" s="1" t="e">
        <f>VLOOKUP(I63,Lectures!C$1:E1057,3,FALSE)</f>
        <v>#N/A</v>
      </c>
    </row>
    <row r="64" spans="2:11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2019-10-24T12:39:51Z</dcterms:modified>
</cp:coreProperties>
</file>